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habibuniversity-my.sharepoint.com/personal/sa10303_st_habib_edu_pk/Documents/EE - 2028/Sem 5/Systems Engineering &amp; Project Management/"/>
    </mc:Choice>
  </mc:AlternateContent>
  <xr:revisionPtr revIDLastSave="15" documentId="11_6573D1A9A4A5355F0040AB41A2AE972BD699D321" xr6:coauthVersionLast="47" xr6:coauthVersionMax="47" xr10:uidLastSave="{C38AE69D-E46B-4CC6-939C-E304F86169DD}"/>
  <bookViews>
    <workbookView xWindow="-108" yWindow="-108" windowWidth="23256" windowHeight="13176" tabRatio="500" xr2:uid="{00000000-000D-0000-FFFF-FFFF00000000}"/>
  </bookViews>
  <sheets>
    <sheet name="Tasks" sheetId="1" r:id="rId1"/>
    <sheet name="Capacity" sheetId="2" r:id="rId2"/>
    <sheet name="Pictur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" i="2" l="1"/>
  <c r="E22" i="2"/>
  <c r="E21" i="2"/>
  <c r="E20" i="2"/>
  <c r="E19" i="2"/>
  <c r="E18" i="2"/>
  <c r="E17" i="2"/>
  <c r="E16" i="2"/>
  <c r="E15" i="2"/>
  <c r="E14" i="2"/>
  <c r="E23" i="2" l="1"/>
  <c r="E40" i="2" s="1"/>
  <c r="E41" i="2" s="1"/>
  <c r="E42" i="2" s="1"/>
  <c r="B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" authorId="0" shapeId="0" xr:uid="{00000000-0006-0000-0100-000001000000}">
      <text>
        <r>
          <rPr>
            <sz val="10"/>
            <rFont val="Arial"/>
            <family val="2"/>
          </rPr>
          <t>Example: if you sleep 7.5 hours a night, type 7.5 here. The weekly figure fills itself.</t>
        </r>
      </text>
    </comment>
  </commentList>
</comments>
</file>

<file path=xl/sharedStrings.xml><?xml version="1.0" encoding="utf-8"?>
<sst xmlns="http://schemas.openxmlformats.org/spreadsheetml/2006/main" count="154" uniqueCount="99">
  <si>
    <t>Components</t>
  </si>
  <si>
    <t>Epics</t>
  </si>
  <si>
    <t>Tasks</t>
  </si>
  <si>
    <t>Course work</t>
  </si>
  <si>
    <t>EMT</t>
  </si>
  <si>
    <t>Make EMT Notes</t>
  </si>
  <si>
    <t>Study vector calculus</t>
  </si>
  <si>
    <t>Personal</t>
  </si>
  <si>
    <t>Family</t>
  </si>
  <si>
    <t>call phupo</t>
  </si>
  <si>
    <t>Do EMT activity 1</t>
  </si>
  <si>
    <t>CARE</t>
  </si>
  <si>
    <t>Picnic</t>
  </si>
  <si>
    <t>pay for picnic</t>
  </si>
  <si>
    <t>Class</t>
  </si>
  <si>
    <t>remind zafar for the class</t>
  </si>
  <si>
    <t>excuse senior teacher for the class</t>
  </si>
  <si>
    <t xml:space="preserve">Class </t>
  </si>
  <si>
    <t>check students vocabulary tests</t>
  </si>
  <si>
    <t>check students registers</t>
  </si>
  <si>
    <t>Friends</t>
  </si>
  <si>
    <t>call Hussain</t>
  </si>
  <si>
    <t>House Chores</t>
  </si>
  <si>
    <t>Grocery</t>
  </si>
  <si>
    <t>LMS lead</t>
  </si>
  <si>
    <t>ask teachers to check their LMS</t>
  </si>
  <si>
    <t>CSEC</t>
  </si>
  <si>
    <t>HURC</t>
  </si>
  <si>
    <t>take update on robosoccer module for hurc</t>
  </si>
  <si>
    <t xml:space="preserve">take update from logistics module </t>
  </si>
  <si>
    <t>finalize the guide and rulebook</t>
  </si>
  <si>
    <t>complete emt activity 2</t>
  </si>
  <si>
    <t>URDU</t>
  </si>
  <si>
    <t>make notes for jahan e urdu reading</t>
  </si>
  <si>
    <t>prepare for quiz of jehan e urdu</t>
  </si>
  <si>
    <t>class</t>
  </si>
  <si>
    <t>reply hadi after reading his essay</t>
  </si>
  <si>
    <t>personal</t>
  </si>
  <si>
    <t>update github repo</t>
  </si>
  <si>
    <t>ADC</t>
  </si>
  <si>
    <t>complete lab 1 of adc</t>
  </si>
  <si>
    <t>NERC</t>
  </si>
  <si>
    <t>logistics</t>
  </si>
  <si>
    <t>return components to miss sumaira</t>
  </si>
  <si>
    <t>ZENCODE</t>
  </si>
  <si>
    <t>disassemble FLAWED</t>
  </si>
  <si>
    <t>finance</t>
  </si>
  <si>
    <t>update on reimbursment of NERC</t>
  </si>
  <si>
    <t>Look for vendors for logistocs of hurc</t>
  </si>
  <si>
    <t>go to hospital to visit nana</t>
  </si>
  <si>
    <t>teach elder brother math</t>
  </si>
  <si>
    <t>make worksheets for the next class for students</t>
  </si>
  <si>
    <t>academia</t>
  </si>
  <si>
    <t>ask for recommendation letter from professor</t>
  </si>
  <si>
    <t>meet with LFR leads to discuss the module</t>
  </si>
  <si>
    <t>meet with Robosoccer lead to point out mistakes in guide book</t>
  </si>
  <si>
    <t>HURC Marketing</t>
  </si>
  <si>
    <t>discuss reel themes for marketing hurc with brain.hack</t>
  </si>
  <si>
    <t>look out for good ideas in reels that people has sent</t>
  </si>
  <si>
    <t>family</t>
  </si>
  <si>
    <t>call mama</t>
  </si>
  <si>
    <t>return ESP to ali hussain</t>
  </si>
  <si>
    <t>Capacity budget</t>
  </si>
  <si>
    <t>ENGR 302  ·  part 3 of the week 2 assignment</t>
  </si>
  <si>
    <t>A week has 168 hours. Fill in what is already spoken for. Everything else is calculated for you.</t>
  </si>
  <si>
    <t>Fill only the shaded cells. Leave a row blank if it does not apply to you.</t>
  </si>
  <si>
    <t>Shaded cells</t>
  </si>
  <si>
    <t>you type here</t>
  </si>
  <si>
    <t>Only what is not yours to move. Not coursework, not project work, not study — that is what you plan with the hours this leaves you.</t>
  </si>
  <si>
    <t>Two rows are filled in for you, in blue: the reviews. They are part of the system, so they are part of what your week already costs.</t>
  </si>
  <si>
    <t>A.   THINGS YOU DO EVERY DAY</t>
  </si>
  <si>
    <t>hours per day</t>
  </si>
  <si>
    <t>hours per week</t>
  </si>
  <si>
    <t>Sleep</t>
  </si>
  <si>
    <t>× 7</t>
  </si>
  <si>
    <t>Meals, including making them</t>
  </si>
  <si>
    <t>Prayer</t>
  </si>
  <si>
    <t>Getting ready, washing, dressing</t>
  </si>
  <si>
    <t>Commute, both ways</t>
  </si>
  <si>
    <t>Phone and social media  (be honest)</t>
  </si>
  <si>
    <t>Your daily review</t>
  </si>
  <si>
    <t>Subtotal A</t>
  </si>
  <si>
    <t>B.   THINGS THAT HAPPEN EVERY WEEK</t>
  </si>
  <si>
    <t>Classes</t>
  </si>
  <si>
    <t>Labs, tutorials, studio time</t>
  </si>
  <si>
    <t>Standing family commitments</t>
  </si>
  <si>
    <t>Halaqah, jamaat, religious gatherings</t>
  </si>
  <si>
    <t>Sport or gym you already do regularly</t>
  </si>
  <si>
    <t>Job, tuition, freelance work</t>
  </si>
  <si>
    <t>Your weekly review   (2 hours now, about half that once you are in practice)</t>
  </si>
  <si>
    <t>Subtotal B</t>
  </si>
  <si>
    <t>NOW THE ONLY SUM THAT MATTERS</t>
  </si>
  <si>
    <t>Hours in a week</t>
  </si>
  <si>
    <t>Already spoken for   (A + B)</t>
  </si>
  <si>
    <t>Hours you actually have</t>
  </si>
  <si>
    <t>Which is, per day</t>
  </si>
  <si>
    <t>You are not being asked to cut anything.</t>
  </si>
  <si>
    <t>You are being asked to find out what is actually free, before you promise it away.</t>
  </si>
  <si>
    <t>Submit this with parts A and B, by the end of week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</si>
</sst>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20"/>
      <color rgb="FF1A1F24"/>
      <name val="Arial"/>
      <charset val="1"/>
    </font>
    <font>
      <sz val="10"/>
      <color rgb="FF6B7580"/>
      <name val="Arial"/>
      <charset val="1"/>
    </font>
    <font>
      <b/>
      <sz val="11"/>
      <color rgb="FF1A1F24"/>
      <name val="Arial"/>
      <charset val="1"/>
    </font>
    <font>
      <i/>
      <sz val="10"/>
      <color rgb="FF6B7580"/>
      <name val="Arial"/>
      <charset val="1"/>
    </font>
    <font>
      <b/>
      <sz val="10"/>
      <color rgb="FF1A1F24"/>
      <name val="Arial"/>
      <charset val="1"/>
    </font>
    <font>
      <i/>
      <sz val="10"/>
      <color rgb="FFC1502E"/>
      <name val="Arial"/>
      <charset val="1"/>
    </font>
    <font>
      <i/>
      <sz val="10"/>
      <color rgb="FF2B5876"/>
      <name val="Arial"/>
      <charset val="1"/>
    </font>
    <font>
      <b/>
      <sz val="12"/>
      <color rgb="FFFFFFFF"/>
      <name val="Arial"/>
      <charset val="1"/>
    </font>
    <font>
      <sz val="11"/>
      <color rgb="FF1A1F24"/>
      <name val="Arial"/>
      <charset val="1"/>
    </font>
    <font>
      <b/>
      <sz val="9"/>
      <color rgb="FF6B7580"/>
      <name val="Arial"/>
      <charset val="1"/>
    </font>
    <font>
      <sz val="11"/>
      <color rgb="FF0000FF"/>
      <name val="Arial"/>
      <charset val="1"/>
    </font>
    <font>
      <sz val="9"/>
      <color rgb="FF6B7580"/>
      <name val="Arial"/>
      <charset val="1"/>
    </font>
    <font>
      <b/>
      <sz val="11"/>
      <color rgb="FF2B5876"/>
      <name val="Arial"/>
      <charset val="1"/>
    </font>
    <font>
      <b/>
      <sz val="12"/>
      <color rgb="FF4E6E5D"/>
      <name val="Arial"/>
      <charset val="1"/>
    </font>
    <font>
      <b/>
      <sz val="11"/>
      <color rgb="FFC1502E"/>
      <name val="Arial"/>
      <charset val="1"/>
    </font>
    <font>
      <b/>
      <sz val="14"/>
      <color rgb="FFC1502E"/>
      <name val="Arial"/>
      <charset val="1"/>
    </font>
    <font>
      <b/>
      <sz val="16"/>
      <color rgb="FFC1502E"/>
      <name val="Arial"/>
      <charset val="1"/>
    </font>
    <font>
      <b/>
      <sz val="12"/>
      <color rgb="FF1A1F24"/>
      <name val="Arial"/>
      <charset val="1"/>
    </font>
    <font>
      <b/>
      <sz val="12"/>
      <color rgb="FFC1502E"/>
      <name val="Arial"/>
      <charset val="1"/>
    </font>
    <font>
      <b/>
      <sz val="10"/>
      <color rgb="FFC1502E"/>
      <name val="Arial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1F2F3"/>
        <bgColor rgb="FFEDF1F5"/>
      </patternFill>
    </fill>
    <fill>
      <patternFill patternType="solid">
        <fgColor rgb="FFFFF9E6"/>
        <bgColor rgb="FFF9EFEB"/>
      </patternFill>
    </fill>
    <fill>
      <patternFill patternType="solid">
        <fgColor rgb="FF1A1F24"/>
        <bgColor rgb="FF333300"/>
      </patternFill>
    </fill>
    <fill>
      <patternFill patternType="solid">
        <fgColor rgb="FFEDF1F5"/>
        <bgColor rgb="FFF1F2F3"/>
      </patternFill>
    </fill>
    <fill>
      <patternFill patternType="solid">
        <fgColor rgb="FFEAF0EC"/>
        <bgColor rgb="FFEDF1F5"/>
      </patternFill>
    </fill>
    <fill>
      <patternFill patternType="solid">
        <fgColor rgb="FFF9EFEB"/>
        <bgColor rgb="FFF1F2F3"/>
      </patternFill>
    </fill>
    <fill>
      <patternFill patternType="solid">
        <fgColor rgb="FFFFFFFF"/>
        <bgColor rgb="FFFFF9E6"/>
      </patternFill>
    </fill>
  </fills>
  <borders count="3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  <border>
      <left style="medium">
        <color rgb="FFC1502E"/>
      </left>
      <right style="medium">
        <color rgb="FFC1502E"/>
      </right>
      <top style="medium">
        <color rgb="FFC1502E"/>
      </top>
      <bottom style="medium">
        <color rgb="FFC1502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0" fillId="0" borderId="0" xfId="0" applyFont="1" applyAlignment="1">
      <alignment horizontal="left" vertical="center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0" fillId="3" borderId="1" xfId="0" applyFill="1" applyBorder="1"/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164" fontId="14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1" fontId="10" fillId="7" borderId="1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164" fontId="18" fillId="8" borderId="2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164" fontId="20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/>
        <sz val="11"/>
        <color rgb="FF1A1F24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2"/>
      <rgbColor rgb="FF6B7580"/>
      <rgbColor rgb="FF9999FF"/>
      <rgbColor rgb="FF993366"/>
      <rgbColor rgb="FFFFF9E6"/>
      <rgbColor rgb="FFEA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5"/>
      <rgbColor rgb="FFF1F2F3"/>
      <rgbColor rgb="FFF9EF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E6E5D"/>
      <rgbColor rgb="FF969696"/>
      <rgbColor rgb="FF003366"/>
      <rgbColor rgb="FF339966"/>
      <rgbColor rgb="FF003300"/>
      <rgbColor rgb="FF333300"/>
      <rgbColor rgb="FFC1502E"/>
      <rgbColor rgb="FF993366"/>
      <rgbColor rgb="FF2B5876"/>
      <rgbColor rgb="FF1A1F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252174</xdr:colOff>
      <xdr:row>46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558EB6-E326-FF41-A4A2-7CB4AFAAC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94"/>
        <a:stretch>
          <a:fillRect/>
        </a:stretch>
      </xdr:blipFill>
      <xdr:spPr>
        <a:xfrm>
          <a:off x="0" y="0"/>
          <a:ext cx="7567374" cy="848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zoomScaleNormal="100" workbookViewId="0">
      <pane ySplit="1" topLeftCell="A2" activePane="bottomLeft" state="frozen"/>
      <selection pane="bottomLeft" activeCell="A36" sqref="A36"/>
    </sheetView>
  </sheetViews>
  <sheetFormatPr defaultColWidth="8.7109375" defaultRowHeight="14.45"/>
  <cols>
    <col min="1" max="1" width="30" customWidth="1"/>
    <col min="2" max="2" width="32" customWidth="1"/>
    <col min="3" max="3" width="62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3</v>
      </c>
      <c r="B5" t="s">
        <v>4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11</v>
      </c>
      <c r="B7" t="s">
        <v>14</v>
      </c>
      <c r="C7" t="s">
        <v>15</v>
      </c>
    </row>
    <row r="8" spans="1:3">
      <c r="A8" t="s">
        <v>11</v>
      </c>
      <c r="B8" t="s">
        <v>14</v>
      </c>
      <c r="C8" t="s">
        <v>16</v>
      </c>
    </row>
    <row r="9" spans="1:3">
      <c r="A9" t="s">
        <v>11</v>
      </c>
      <c r="B9" t="s">
        <v>17</v>
      </c>
      <c r="C9" t="s">
        <v>18</v>
      </c>
    </row>
    <row r="10" spans="1:3">
      <c r="A10" t="s">
        <v>11</v>
      </c>
      <c r="B10" t="s">
        <v>14</v>
      </c>
      <c r="C10" t="s">
        <v>19</v>
      </c>
    </row>
    <row r="11" spans="1:3">
      <c r="A11" t="s">
        <v>7</v>
      </c>
      <c r="B11" t="s">
        <v>20</v>
      </c>
      <c r="C11" t="s">
        <v>21</v>
      </c>
    </row>
    <row r="12" spans="1:3">
      <c r="A12" t="s">
        <v>7</v>
      </c>
      <c r="B12" t="s">
        <v>22</v>
      </c>
      <c r="C12" t="s">
        <v>23</v>
      </c>
    </row>
    <row r="13" spans="1:3">
      <c r="A13" t="s">
        <v>11</v>
      </c>
      <c r="B13" t="s">
        <v>24</v>
      </c>
      <c r="C13" t="s">
        <v>25</v>
      </c>
    </row>
    <row r="14" spans="1:3">
      <c r="A14" t="s">
        <v>26</v>
      </c>
      <c r="B14" t="s">
        <v>27</v>
      </c>
      <c r="C14" t="s">
        <v>28</v>
      </c>
    </row>
    <row r="15" spans="1:3">
      <c r="A15" t="s">
        <v>26</v>
      </c>
      <c r="B15" t="s">
        <v>27</v>
      </c>
      <c r="C15" t="s">
        <v>29</v>
      </c>
    </row>
    <row r="16" spans="1:3">
      <c r="A16" t="s">
        <v>26</v>
      </c>
      <c r="B16" t="s">
        <v>27</v>
      </c>
      <c r="C16" t="s">
        <v>30</v>
      </c>
    </row>
    <row r="17" spans="1:3">
      <c r="A17" t="s">
        <v>3</v>
      </c>
      <c r="B17" t="s">
        <v>4</v>
      </c>
      <c r="C17" t="s">
        <v>31</v>
      </c>
    </row>
    <row r="18" spans="1:3">
      <c r="A18" t="s">
        <v>3</v>
      </c>
      <c r="B18" t="s">
        <v>32</v>
      </c>
      <c r="C18" t="s">
        <v>33</v>
      </c>
    </row>
    <row r="19" spans="1:3">
      <c r="A19" t="s">
        <v>3</v>
      </c>
      <c r="B19" t="s">
        <v>32</v>
      </c>
      <c r="C19" t="s">
        <v>34</v>
      </c>
    </row>
    <row r="20" spans="1:3">
      <c r="A20" t="s">
        <v>11</v>
      </c>
      <c r="B20" t="s">
        <v>35</v>
      </c>
      <c r="C20" t="s">
        <v>36</v>
      </c>
    </row>
    <row r="21" spans="1:3">
      <c r="A21" t="s">
        <v>3</v>
      </c>
      <c r="B21" t="s">
        <v>37</v>
      </c>
      <c r="C21" t="s">
        <v>38</v>
      </c>
    </row>
    <row r="22" spans="1:3">
      <c r="A22" t="s">
        <v>3</v>
      </c>
      <c r="B22" t="s">
        <v>39</v>
      </c>
      <c r="C22" t="s">
        <v>40</v>
      </c>
    </row>
    <row r="23" spans="1:3">
      <c r="A23" t="s">
        <v>41</v>
      </c>
      <c r="B23" t="s">
        <v>42</v>
      </c>
      <c r="C23" t="s">
        <v>43</v>
      </c>
    </row>
    <row r="24" spans="1:3">
      <c r="A24" t="s">
        <v>44</v>
      </c>
      <c r="B24" t="s">
        <v>42</v>
      </c>
      <c r="C24" t="s">
        <v>45</v>
      </c>
    </row>
    <row r="25" spans="1:3">
      <c r="A25" t="s">
        <v>41</v>
      </c>
      <c r="B25" t="s">
        <v>46</v>
      </c>
      <c r="C25" t="s">
        <v>47</v>
      </c>
    </row>
    <row r="26" spans="1:3">
      <c r="A26" t="s">
        <v>26</v>
      </c>
      <c r="B26" t="s">
        <v>27</v>
      </c>
      <c r="C26" t="s">
        <v>48</v>
      </c>
    </row>
    <row r="27" spans="1:3">
      <c r="A27" t="s">
        <v>7</v>
      </c>
      <c r="B27" t="s">
        <v>8</v>
      </c>
      <c r="C27" t="s">
        <v>49</v>
      </c>
    </row>
    <row r="28" spans="1:3">
      <c r="A28" t="s">
        <v>7</v>
      </c>
      <c r="B28" t="s">
        <v>8</v>
      </c>
      <c r="C28" t="s">
        <v>50</v>
      </c>
    </row>
    <row r="29" spans="1:3">
      <c r="A29" t="s">
        <v>11</v>
      </c>
      <c r="B29" t="s">
        <v>35</v>
      </c>
      <c r="C29" t="s">
        <v>51</v>
      </c>
    </row>
    <row r="30" spans="1:3">
      <c r="A30" t="s">
        <v>7</v>
      </c>
      <c r="B30" t="s">
        <v>52</v>
      </c>
      <c r="C30" t="s">
        <v>53</v>
      </c>
    </row>
    <row r="31" spans="1:3">
      <c r="A31" t="s">
        <v>26</v>
      </c>
      <c r="B31" t="s">
        <v>27</v>
      </c>
      <c r="C31" t="s">
        <v>54</v>
      </c>
    </row>
    <row r="32" spans="1:3">
      <c r="A32" t="s">
        <v>26</v>
      </c>
      <c r="B32" t="s">
        <v>27</v>
      </c>
      <c r="C32" t="s">
        <v>55</v>
      </c>
    </row>
    <row r="33" spans="1:3">
      <c r="A33" t="s">
        <v>26</v>
      </c>
      <c r="B33" t="s">
        <v>56</v>
      </c>
      <c r="C33" t="s">
        <v>57</v>
      </c>
    </row>
    <row r="34" spans="1:3">
      <c r="A34" t="s">
        <v>26</v>
      </c>
      <c r="B34" t="s">
        <v>56</v>
      </c>
      <c r="C34" t="s">
        <v>58</v>
      </c>
    </row>
    <row r="35" spans="1:3">
      <c r="A35" t="s">
        <v>7</v>
      </c>
      <c r="B35" t="s">
        <v>59</v>
      </c>
      <c r="C35" t="s">
        <v>60</v>
      </c>
    </row>
    <row r="36" spans="1:3">
      <c r="A36" t="s">
        <v>44</v>
      </c>
      <c r="B36" t="s">
        <v>42</v>
      </c>
      <c r="C36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9"/>
  <sheetViews>
    <sheetView showGridLines="0" zoomScaleNormal="100" workbookViewId="0">
      <pane ySplit="11" topLeftCell="A36" activePane="bottomLeft" state="frozen"/>
      <selection pane="bottomLeft" activeCell="C20" sqref="C20"/>
    </sheetView>
  </sheetViews>
  <sheetFormatPr defaultColWidth="8.7109375" defaultRowHeight="14.45"/>
  <cols>
    <col min="1" max="1" width="4" customWidth="1"/>
    <col min="2" max="2" width="46" customWidth="1"/>
    <col min="3" max="3" width="14" customWidth="1"/>
    <col min="4" max="4" width="6" customWidth="1"/>
    <col min="5" max="5" width="14" customWidth="1"/>
  </cols>
  <sheetData>
    <row r="2" spans="2:5" ht="27.75" customHeight="1">
      <c r="B2" s="34" t="s">
        <v>62</v>
      </c>
      <c r="C2" s="34"/>
      <c r="D2" s="34"/>
      <c r="E2" s="34"/>
    </row>
    <row r="3" spans="2:5">
      <c r="B3" s="35" t="s">
        <v>63</v>
      </c>
      <c r="C3" s="35"/>
      <c r="D3" s="35"/>
      <c r="E3" s="35"/>
    </row>
    <row r="5" spans="2:5" ht="21.75" customHeight="1">
      <c r="B5" s="36" t="s">
        <v>64</v>
      </c>
      <c r="C5" s="36"/>
      <c r="D5" s="36"/>
      <c r="E5" s="36"/>
    </row>
    <row r="6" spans="2:5">
      <c r="B6" s="37" t="s">
        <v>65</v>
      </c>
      <c r="C6" s="37"/>
      <c r="D6" s="37"/>
      <c r="E6" s="37"/>
    </row>
    <row r="8" spans="2:5">
      <c r="B8" s="3" t="s">
        <v>66</v>
      </c>
      <c r="C8" s="4"/>
      <c r="D8" s="35" t="s">
        <v>67</v>
      </c>
      <c r="E8" s="35"/>
    </row>
    <row r="9" spans="2:5" ht="15.75" customHeight="1">
      <c r="B9" s="30" t="s">
        <v>68</v>
      </c>
      <c r="C9" s="30"/>
      <c r="D9" s="30"/>
      <c r="E9" s="30"/>
    </row>
    <row r="10" spans="2:5" ht="15.75" customHeight="1">
      <c r="B10" s="31" t="s">
        <v>69</v>
      </c>
      <c r="C10" s="31"/>
      <c r="D10" s="31"/>
      <c r="E10" s="31"/>
    </row>
    <row r="12" spans="2:5" ht="24" customHeight="1">
      <c r="B12" s="32" t="s">
        <v>70</v>
      </c>
      <c r="C12" s="32"/>
      <c r="D12" s="32"/>
      <c r="E12" s="32"/>
    </row>
    <row r="13" spans="2:5" ht="25.5" customHeight="1">
      <c r="B13" s="1"/>
      <c r="C13" s="5" t="s">
        <v>71</v>
      </c>
      <c r="D13" s="1"/>
      <c r="E13" s="5" t="s">
        <v>72</v>
      </c>
    </row>
    <row r="14" spans="2:5">
      <c r="B14" s="6" t="s">
        <v>73</v>
      </c>
      <c r="C14" s="7">
        <v>7</v>
      </c>
      <c r="D14" s="8" t="s">
        <v>74</v>
      </c>
      <c r="E14" s="9">
        <f t="shared" ref="E14:E21" si="0">IF(C14="","",C14*7)</f>
        <v>49</v>
      </c>
    </row>
    <row r="15" spans="2:5">
      <c r="B15" s="10" t="s">
        <v>75</v>
      </c>
      <c r="C15" s="7">
        <v>2</v>
      </c>
      <c r="D15" s="8" t="s">
        <v>74</v>
      </c>
      <c r="E15" s="9">
        <f t="shared" si="0"/>
        <v>14</v>
      </c>
    </row>
    <row r="16" spans="2:5">
      <c r="B16" s="6" t="s">
        <v>76</v>
      </c>
      <c r="C16" s="7">
        <v>1</v>
      </c>
      <c r="D16" s="8" t="s">
        <v>74</v>
      </c>
      <c r="E16" s="9">
        <f t="shared" si="0"/>
        <v>7</v>
      </c>
    </row>
    <row r="17" spans="2:5">
      <c r="B17" s="10" t="s">
        <v>77</v>
      </c>
      <c r="C17" s="7">
        <v>1</v>
      </c>
      <c r="D17" s="8" t="s">
        <v>74</v>
      </c>
      <c r="E17" s="9">
        <f t="shared" si="0"/>
        <v>7</v>
      </c>
    </row>
    <row r="18" spans="2:5">
      <c r="B18" s="6" t="s">
        <v>78</v>
      </c>
      <c r="C18" s="7">
        <v>0.8</v>
      </c>
      <c r="D18" s="8" t="s">
        <v>74</v>
      </c>
      <c r="E18" s="9">
        <f t="shared" si="0"/>
        <v>5.6000000000000005</v>
      </c>
    </row>
    <row r="19" spans="2:5">
      <c r="B19" s="10" t="s">
        <v>79</v>
      </c>
      <c r="C19" s="7">
        <v>4</v>
      </c>
      <c r="D19" s="8" t="s">
        <v>74</v>
      </c>
      <c r="E19" s="9">
        <f t="shared" si="0"/>
        <v>28</v>
      </c>
    </row>
    <row r="20" spans="2:5">
      <c r="B20" s="11"/>
      <c r="C20" s="7"/>
      <c r="D20" s="8" t="s">
        <v>74</v>
      </c>
      <c r="E20" s="9" t="str">
        <f t="shared" si="0"/>
        <v/>
      </c>
    </row>
    <row r="21" spans="2:5">
      <c r="B21" s="11"/>
      <c r="C21" s="7"/>
      <c r="D21" s="8" t="s">
        <v>74</v>
      </c>
      <c r="E21" s="9" t="str">
        <f t="shared" si="0"/>
        <v/>
      </c>
    </row>
    <row r="22" spans="2:5">
      <c r="B22" s="12" t="s">
        <v>80</v>
      </c>
      <c r="C22" s="13">
        <v>0.5</v>
      </c>
      <c r="D22" s="14" t="s">
        <v>74</v>
      </c>
      <c r="E22" s="13">
        <f>C22*7</f>
        <v>3.5</v>
      </c>
    </row>
    <row r="23" spans="2:5" ht="21.75" customHeight="1">
      <c r="B23" s="15" t="s">
        <v>81</v>
      </c>
      <c r="C23" s="16"/>
      <c r="D23" s="16"/>
      <c r="E23" s="17">
        <f>SUM(E14:E22)</f>
        <v>114.1</v>
      </c>
    </row>
    <row r="25" spans="2:5" ht="24" customHeight="1">
      <c r="B25" s="32" t="s">
        <v>82</v>
      </c>
      <c r="C25" s="32"/>
      <c r="D25" s="32"/>
      <c r="E25" s="32"/>
    </row>
    <row r="26" spans="2:5" ht="25.5" customHeight="1">
      <c r="B26" s="1"/>
      <c r="C26" s="6"/>
      <c r="D26" s="6"/>
      <c r="E26" s="5" t="s">
        <v>72</v>
      </c>
    </row>
    <row r="27" spans="2:5">
      <c r="B27" s="6" t="s">
        <v>83</v>
      </c>
      <c r="C27" s="6"/>
      <c r="D27" s="6"/>
      <c r="E27" s="7">
        <v>20</v>
      </c>
    </row>
    <row r="28" spans="2:5">
      <c r="B28" s="10" t="s">
        <v>84</v>
      </c>
      <c r="C28" s="6"/>
      <c r="D28" s="6"/>
      <c r="E28" s="7">
        <v>3</v>
      </c>
    </row>
    <row r="29" spans="2:5">
      <c r="B29" s="6" t="s">
        <v>85</v>
      </c>
      <c r="C29" s="6"/>
      <c r="D29" s="6"/>
      <c r="E29" s="7">
        <v>4</v>
      </c>
    </row>
    <row r="30" spans="2:5">
      <c r="B30" s="10" t="s">
        <v>86</v>
      </c>
      <c r="C30" s="6"/>
      <c r="D30" s="6"/>
      <c r="E30" s="7">
        <v>1</v>
      </c>
    </row>
    <row r="31" spans="2:5">
      <c r="B31" s="6" t="s">
        <v>87</v>
      </c>
      <c r="C31" s="6"/>
      <c r="D31" s="6"/>
      <c r="E31" s="7">
        <v>0</v>
      </c>
    </row>
    <row r="32" spans="2:5">
      <c r="B32" s="10" t="s">
        <v>88</v>
      </c>
      <c r="C32" s="6"/>
      <c r="D32" s="6"/>
      <c r="E32" s="7">
        <v>3</v>
      </c>
    </row>
    <row r="33" spans="2:5">
      <c r="B33" s="11"/>
      <c r="C33" s="6"/>
      <c r="D33" s="6"/>
      <c r="E33" s="7"/>
    </row>
    <row r="34" spans="2:5">
      <c r="B34" s="11"/>
      <c r="C34" s="6"/>
      <c r="D34" s="6"/>
      <c r="E34" s="7"/>
    </row>
    <row r="35" spans="2:5">
      <c r="B35" s="12" t="s">
        <v>89</v>
      </c>
      <c r="C35" s="18"/>
      <c r="D35" s="18"/>
      <c r="E35" s="13">
        <v>2</v>
      </c>
    </row>
    <row r="36" spans="2:5" ht="21.75" customHeight="1">
      <c r="B36" s="15" t="s">
        <v>90</v>
      </c>
      <c r="C36" s="16"/>
      <c r="D36" s="16"/>
      <c r="E36" s="17">
        <f>SUM(E27:E35)</f>
        <v>33</v>
      </c>
    </row>
    <row r="38" spans="2:5" ht="21.75" customHeight="1">
      <c r="B38" s="33" t="s">
        <v>91</v>
      </c>
      <c r="C38" s="33"/>
      <c r="D38" s="33"/>
      <c r="E38" s="33"/>
    </row>
    <row r="39" spans="2:5">
      <c r="B39" s="19" t="s">
        <v>92</v>
      </c>
      <c r="C39" s="19"/>
      <c r="D39" s="19"/>
      <c r="E39" s="20">
        <v>168</v>
      </c>
    </row>
    <row r="40" spans="2:5">
      <c r="B40" s="19" t="s">
        <v>93</v>
      </c>
      <c r="C40" s="19"/>
      <c r="D40" s="19"/>
      <c r="E40" s="21">
        <f>E23+E36</f>
        <v>147.1</v>
      </c>
    </row>
    <row r="41" spans="2:5" ht="30" customHeight="1">
      <c r="B41" s="22" t="s">
        <v>94</v>
      </c>
      <c r="C41" s="19"/>
      <c r="D41" s="19"/>
      <c r="E41" s="23">
        <f>E39-E40</f>
        <v>20.900000000000006</v>
      </c>
    </row>
    <row r="42" spans="2:5" ht="15.6">
      <c r="B42" s="24" t="s">
        <v>95</v>
      </c>
      <c r="C42" s="19"/>
      <c r="D42" s="19"/>
      <c r="E42" s="25">
        <f>E41/7</f>
        <v>2.9857142857142867</v>
      </c>
    </row>
    <row r="44" spans="2:5" ht="24" customHeight="1">
      <c r="B44" s="26" t="str">
        <f>IF(E23+E36=0,"Fill in block A to begin.",IF(E41&gt;60,"That looks high. Most people forget sleep, meals or their phone. Go back to block A.",IF(E41&lt;10,"That looks very low. Check you have not entered a weekly figure in the per-day column.","That is your number. Everything you take on this semester has to fit inside it.")))</f>
        <v>That is your number. Everything you take on this semester has to fit inside it.</v>
      </c>
      <c r="C44" s="26"/>
      <c r="D44" s="26"/>
      <c r="E44" s="26"/>
    </row>
    <row r="46" spans="2:5" ht="15.6">
      <c r="B46" s="27" t="s">
        <v>96</v>
      </c>
      <c r="C46" s="27"/>
      <c r="D46" s="27"/>
      <c r="E46" s="27"/>
    </row>
    <row r="47" spans="2:5">
      <c r="B47" s="28" t="s">
        <v>97</v>
      </c>
      <c r="C47" s="28"/>
      <c r="D47" s="28"/>
      <c r="E47" s="28"/>
    </row>
    <row r="49" spans="2:5">
      <c r="B49" s="29" t="s">
        <v>98</v>
      </c>
      <c r="C49" s="29"/>
      <c r="D49" s="29"/>
      <c r="E49" s="29"/>
    </row>
  </sheetData>
  <mergeCells count="14">
    <mergeCell ref="B2:E2"/>
    <mergeCell ref="B3:E3"/>
    <mergeCell ref="B5:E5"/>
    <mergeCell ref="B6:E6"/>
    <mergeCell ref="D8:E8"/>
    <mergeCell ref="B44:E44"/>
    <mergeCell ref="B46:E46"/>
    <mergeCell ref="B47:E47"/>
    <mergeCell ref="B49:E49"/>
    <mergeCell ref="B9:E9"/>
    <mergeCell ref="B10:E10"/>
    <mergeCell ref="B12:E12"/>
    <mergeCell ref="B25:E25"/>
    <mergeCell ref="B38:E38"/>
  </mergeCells>
  <conditionalFormatting sqref="B44">
    <cfRule type="cellIs" dxfId="0" priority="2" operator="notEqual">
      <formula>"x"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EACA-1879-45DF-B094-6B20CCAF099C}">
  <dimension ref="A1"/>
  <sheetViews>
    <sheetView workbookViewId="0">
      <selection activeCell="N44" sqref="N44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Syed Sualeh AbbasRizvi</cp:lastModifiedBy>
  <cp:revision>0</cp:revision>
  <dcterms:created xsi:type="dcterms:W3CDTF">2026-08-23T17:20:43Z</dcterms:created>
  <dcterms:modified xsi:type="dcterms:W3CDTF">2026-09-03T04:42:39Z</dcterms:modified>
  <cp:category/>
  <cp:contentStatus/>
</cp:coreProperties>
</file>